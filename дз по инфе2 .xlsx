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66D162-4E7C-415E-AE06-C43DCC68B8CB}" xr6:coauthVersionLast="37" xr6:coauthVersionMax="37" xr10:uidLastSave="{00000000-0000-0000-0000-000000000000}"/>
  <bookViews>
    <workbookView xWindow="0" yWindow="0" windowWidth="28800" windowHeight="11625" xr2:uid="{143E1BDF-00A9-4EB8-A614-FC948D4B5F99}"/>
  </bookViews>
  <sheets>
    <sheet name="Лист1" sheetId="1" r:id="rId1"/>
  </sheets>
  <definedNames>
    <definedName name="_xlchart.v1.0" hidden="1">Лист1!$N$1:$O$1</definedName>
    <definedName name="_xlchart.v1.1" hidden="1">Лист1!$N$2:$O$2</definedName>
    <definedName name="_xlchart.v1.2" hidden="1">Лист1!$H$1:$I$1</definedName>
    <definedName name="_xlchart.v1.3" hidden="1">Лист1!$H$2:$I$2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2" i="1"/>
  <c r="L2" i="1"/>
  <c r="K2" i="1"/>
  <c r="I2" i="1"/>
  <c r="H2" i="1"/>
</calcChain>
</file>

<file path=xl/sharedStrings.xml><?xml version="1.0" encoding="utf-8"?>
<sst xmlns="http://schemas.openxmlformats.org/spreadsheetml/2006/main" count="58" uniqueCount="34">
  <si>
    <t>ФИ</t>
  </si>
  <si>
    <t>пол</t>
  </si>
  <si>
    <t>возраст</t>
  </si>
  <si>
    <t>Башаев Микаил</t>
  </si>
  <si>
    <t>М</t>
  </si>
  <si>
    <t>Борисов Роман</t>
  </si>
  <si>
    <t>Васильева Анна</t>
  </si>
  <si>
    <t>Глушков Тимур</t>
  </si>
  <si>
    <t>Закарян Нарек</t>
  </si>
  <si>
    <t>Карнаухов Богдан</t>
  </si>
  <si>
    <t>Коротков Максим</t>
  </si>
  <si>
    <t>Кочергин Павел</t>
  </si>
  <si>
    <t>Кошкин Алексей</t>
  </si>
  <si>
    <t>Крапивина Екатерина</t>
  </si>
  <si>
    <t>Кузьмин Дмитрий</t>
  </si>
  <si>
    <t>Максимова Евгения</t>
  </si>
  <si>
    <t>Мельников Антон</t>
  </si>
  <si>
    <t>Орехова Дарья</t>
  </si>
  <si>
    <t>Пуртова Анна</t>
  </si>
  <si>
    <t>Роженцова Валерия</t>
  </si>
  <si>
    <t>Рубцов Артемий</t>
  </si>
  <si>
    <t>Ручкин Даниил</t>
  </si>
  <si>
    <t>Сергеева Валерия</t>
  </si>
  <si>
    <t>Смыслова Ангелина</t>
  </si>
  <si>
    <t>Токтаева Полина</t>
  </si>
  <si>
    <t>Фицай Карина</t>
  </si>
  <si>
    <t>Шалахова Екатерина</t>
  </si>
  <si>
    <t>Ж</t>
  </si>
  <si>
    <t>год рождения</t>
  </si>
  <si>
    <t>Боброва Виктория</t>
  </si>
  <si>
    <t>2008 год</t>
  </si>
  <si>
    <t>2009 год</t>
  </si>
  <si>
    <t>16 лет</t>
  </si>
  <si>
    <t>15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</si>
</sst>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David Libre" panose="00000500000000000000" pitchFamily="2" charset="-79"/>
                <a:ea typeface="+mn-ea"/>
                <a:cs typeface="David Libre" panose="00000500000000000000" pitchFamily="2" charset="-79"/>
              </a:defRPr>
            </a:pPr>
            <a:r>
              <a:rPr lang="ru-RU">
                <a:cs typeface="David Libre" panose="00000500000000000000" pitchFamily="2" charset="-79"/>
              </a:rPr>
              <a:t>Соотношение полов</a:t>
            </a:r>
          </a:p>
        </c:rich>
      </c:tx>
      <c:overlay val="0"/>
      <c:spPr>
        <a:solidFill>
          <a:schemeClr val="accent6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David Libre" panose="00000500000000000000" pitchFamily="2" charset="-79"/>
              <a:ea typeface="+mn-ea"/>
              <a:cs typeface="David Libre" panose="00000500000000000000" pitchFamily="2" charset="-79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Лист1!$H$1:$I$1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Лист1!$H$2:$I$2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3-40AF-A9CE-E675C35C94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Bleeding CowboysRUS" panose="02000000000000000000" pitchFamily="2" charset="-52"/>
                <a:ea typeface="+mn-ea"/>
                <a:cs typeface="+mn-cs"/>
              </a:defRPr>
            </a:pPr>
            <a:r>
              <a:rPr lang="ru-RU">
                <a:latin typeface="Bleeding CowboysRUS" panose="02000000000000000000" pitchFamily="2" charset="-52"/>
              </a:rPr>
              <a:t>СООТНОШЕНИЕ ГОДОВ РОЖДЕНИЯ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Bleeding CowboysRUS" panose="02000000000000000000" pitchFamily="2" charset="-52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Лист1!$K$1:$L$1</c:f>
              <c:strCache>
                <c:ptCount val="2"/>
                <c:pt idx="0">
                  <c:v>2008 год</c:v>
                </c:pt>
                <c:pt idx="1">
                  <c:v>2009 год</c:v>
                </c:pt>
              </c:strCache>
            </c:strRef>
          </c:cat>
          <c:val>
            <c:numRef>
              <c:f>Лист1!$K$2:$L$2</c:f>
              <c:numCache>
                <c:formatCode>General</c:formatCode>
                <c:ptCount val="2"/>
                <c:pt idx="0">
                  <c:v>5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E-4F46-96F1-C917D4EF4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360837648"/>
        <c:axId val="1085932336"/>
        <c:axId val="0"/>
      </c:bar3DChart>
      <c:catAx>
        <c:axId val="136083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932336"/>
        <c:crosses val="autoZero"/>
        <c:auto val="1"/>
        <c:lblAlgn val="ctr"/>
        <c:lblOffset val="100"/>
        <c:noMultiLvlLbl val="0"/>
      </c:catAx>
      <c:valAx>
        <c:axId val="108593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83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accent4">
                    <a:lumMod val="60000"/>
                    <a:lumOff val="40000"/>
                  </a:schemeClr>
                </a:solidFill>
                <a:latin typeface="Fixifont" panose="02000000000000000000" pitchFamily="2" charset="0"/>
              </a:rPr>
              <a:t>Соотношение</a:t>
            </a:r>
            <a:r>
              <a:rPr lang="ru-RU" baseline="0">
                <a:solidFill>
                  <a:schemeClr val="accent4">
                    <a:lumMod val="60000"/>
                    <a:lumOff val="40000"/>
                  </a:schemeClr>
                </a:solidFill>
                <a:latin typeface="Fixifont" panose="02000000000000000000" pitchFamily="2" charset="0"/>
              </a:rPr>
              <a:t> возрастов</a:t>
            </a:r>
            <a:endParaRPr lang="ru-RU">
              <a:solidFill>
                <a:schemeClr val="accent4">
                  <a:lumMod val="60000"/>
                  <a:lumOff val="40000"/>
                </a:schemeClr>
              </a:solidFill>
              <a:latin typeface="Fixifont" panose="02000000000000000000" pitchFamily="2" charset="0"/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Лист1!$N$1:$O$1</c:f>
              <c:strCache>
                <c:ptCount val="2"/>
                <c:pt idx="0">
                  <c:v>16 лет</c:v>
                </c:pt>
                <c:pt idx="1">
                  <c:v>15 лет</c:v>
                </c:pt>
              </c:strCache>
            </c:strRef>
          </c:cat>
          <c:val>
            <c:numRef>
              <c:f>Лист1!$N$2:$O$2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2-45CF-9DA6-63918EA8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430432"/>
        <c:axId val="1364938160"/>
      </c:barChart>
      <c:catAx>
        <c:axId val="153343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938160"/>
        <c:crosses val="autoZero"/>
        <c:auto val="1"/>
        <c:lblAlgn val="ctr"/>
        <c:lblOffset val="100"/>
        <c:noMultiLvlLbl val="0"/>
      </c:catAx>
      <c:valAx>
        <c:axId val="136493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34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80962</xdr:rowOff>
    </xdr:from>
    <xdr:to>
      <xdr:col>8</xdr:col>
      <xdr:colOff>466725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70CB14-57C6-4047-8052-FA57D7C63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185737</xdr:rowOff>
    </xdr:from>
    <xdr:to>
      <xdr:col>16</xdr:col>
      <xdr:colOff>57150</xdr:colOff>
      <xdr:row>18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36E3B76-E946-4601-A593-8BD4C6D8A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1419225</xdr:colOff>
      <xdr:row>19</xdr:row>
      <xdr:rowOff>95249</xdr:rowOff>
    </xdr:from>
    <xdr:to>
      <xdr:col>9</xdr:col>
      <xdr:colOff>342900</xdr:colOff>
      <xdr:row>31</xdr:row>
      <xdr:rowOff>109536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29CE54A-C1A7-470E-A454-15FA69C2B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6DD4-153F-43BF-987D-D998692CE4F9}">
  <dimension ref="A1:O25"/>
  <sheetViews>
    <sheetView tabSelected="1" workbookViewId="0">
      <selection activeCell="A25" sqref="A25"/>
    </sheetView>
  </sheetViews>
  <sheetFormatPr defaultRowHeight="15" x14ac:dyDescent="0.25"/>
  <cols>
    <col min="1" max="1" width="21.42578125" customWidth="1"/>
    <col min="4" max="4" width="14.42578125" customWidth="1"/>
    <col min="5" max="5" width="27.28515625" customWidth="1"/>
    <col min="6" max="6" width="18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28</v>
      </c>
      <c r="H1" t="s">
        <v>4</v>
      </c>
      <c r="I1" t="s">
        <v>27</v>
      </c>
      <c r="K1" t="s">
        <v>30</v>
      </c>
      <c r="L1" t="s">
        <v>31</v>
      </c>
      <c r="N1" t="s">
        <v>32</v>
      </c>
      <c r="O1" t="s">
        <v>33</v>
      </c>
    </row>
    <row r="2" spans="1:15" x14ac:dyDescent="0.25">
      <c r="A2" t="s">
        <v>3</v>
      </c>
      <c r="B2" t="s">
        <v>4</v>
      </c>
      <c r="C2">
        <v>16</v>
      </c>
      <c r="D2">
        <v>2009</v>
      </c>
      <c r="H2">
        <f>COUNTIF(B:B,"М")</f>
        <v>12</v>
      </c>
      <c r="I2">
        <f>COUNTIF(B:B,"Ж")</f>
        <v>12</v>
      </c>
      <c r="K2">
        <f>COUNTIF(D:D,2008)</f>
        <v>5</v>
      </c>
      <c r="L2">
        <f>COUNTIF(D:D,2009)</f>
        <v>19</v>
      </c>
      <c r="N2">
        <f>COUNTIF(C:C,16)</f>
        <v>10</v>
      </c>
      <c r="O2">
        <f>COUNTIF(C:C,15)</f>
        <v>13</v>
      </c>
    </row>
    <row r="3" spans="1:15" x14ac:dyDescent="0.25">
      <c r="A3" t="s">
        <v>5</v>
      </c>
      <c r="B3" t="s">
        <v>4</v>
      </c>
      <c r="C3">
        <v>16</v>
      </c>
      <c r="D3">
        <v>2008</v>
      </c>
    </row>
    <row r="4" spans="1:15" x14ac:dyDescent="0.25">
      <c r="A4" t="s">
        <v>6</v>
      </c>
      <c r="B4" t="s">
        <v>27</v>
      </c>
      <c r="C4">
        <v>16</v>
      </c>
      <c r="D4">
        <v>2009</v>
      </c>
    </row>
    <row r="5" spans="1:15" x14ac:dyDescent="0.25">
      <c r="A5" t="s">
        <v>7</v>
      </c>
      <c r="B5" t="s">
        <v>4</v>
      </c>
      <c r="C5">
        <v>15</v>
      </c>
      <c r="D5">
        <v>2009</v>
      </c>
    </row>
    <row r="6" spans="1:15" x14ac:dyDescent="0.25">
      <c r="A6" t="s">
        <v>8</v>
      </c>
      <c r="B6" t="s">
        <v>4</v>
      </c>
      <c r="C6">
        <v>17</v>
      </c>
      <c r="D6">
        <v>2008</v>
      </c>
    </row>
    <row r="7" spans="1:15" x14ac:dyDescent="0.25">
      <c r="A7" t="s">
        <v>9</v>
      </c>
      <c r="B7" t="s">
        <v>4</v>
      </c>
      <c r="C7">
        <v>15</v>
      </c>
      <c r="D7">
        <v>2009</v>
      </c>
    </row>
    <row r="8" spans="1:15" x14ac:dyDescent="0.25">
      <c r="A8" t="s">
        <v>10</v>
      </c>
      <c r="B8" t="s">
        <v>4</v>
      </c>
      <c r="C8">
        <v>15</v>
      </c>
      <c r="D8">
        <v>2009</v>
      </c>
    </row>
    <row r="9" spans="1:15" x14ac:dyDescent="0.25">
      <c r="A9" t="s">
        <v>11</v>
      </c>
      <c r="B9" t="s">
        <v>4</v>
      </c>
      <c r="C9">
        <v>15</v>
      </c>
      <c r="D9">
        <v>2009</v>
      </c>
    </row>
    <row r="10" spans="1:15" x14ac:dyDescent="0.25">
      <c r="A10" t="s">
        <v>12</v>
      </c>
      <c r="B10" t="s">
        <v>4</v>
      </c>
      <c r="C10">
        <v>16</v>
      </c>
      <c r="D10">
        <v>2008</v>
      </c>
    </row>
    <row r="11" spans="1:15" x14ac:dyDescent="0.25">
      <c r="A11" t="s">
        <v>13</v>
      </c>
      <c r="B11" t="s">
        <v>27</v>
      </c>
      <c r="C11">
        <v>16</v>
      </c>
      <c r="D11">
        <v>2009</v>
      </c>
    </row>
    <row r="12" spans="1:15" x14ac:dyDescent="0.25">
      <c r="A12" t="s">
        <v>14</v>
      </c>
      <c r="B12" t="s">
        <v>4</v>
      </c>
      <c r="C12">
        <v>15</v>
      </c>
      <c r="D12">
        <v>2009</v>
      </c>
    </row>
    <row r="13" spans="1:15" x14ac:dyDescent="0.25">
      <c r="A13" t="s">
        <v>15</v>
      </c>
      <c r="B13" t="s">
        <v>27</v>
      </c>
      <c r="C13">
        <v>15</v>
      </c>
      <c r="D13">
        <v>2009</v>
      </c>
    </row>
    <row r="14" spans="1:15" x14ac:dyDescent="0.25">
      <c r="A14" t="s">
        <v>16</v>
      </c>
      <c r="B14" t="s">
        <v>4</v>
      </c>
      <c r="C14">
        <v>15</v>
      </c>
      <c r="D14">
        <v>2009</v>
      </c>
    </row>
    <row r="15" spans="1:15" x14ac:dyDescent="0.25">
      <c r="A15" t="s">
        <v>17</v>
      </c>
      <c r="B15" t="s">
        <v>27</v>
      </c>
      <c r="C15">
        <v>16</v>
      </c>
      <c r="D15">
        <v>2009</v>
      </c>
    </row>
    <row r="16" spans="1:15" x14ac:dyDescent="0.25">
      <c r="A16" t="s">
        <v>18</v>
      </c>
      <c r="B16" t="s">
        <v>27</v>
      </c>
      <c r="C16">
        <v>16</v>
      </c>
      <c r="D16">
        <v>2008</v>
      </c>
    </row>
    <row r="17" spans="1:4" x14ac:dyDescent="0.25">
      <c r="A17" t="s">
        <v>19</v>
      </c>
      <c r="B17" t="s">
        <v>27</v>
      </c>
      <c r="C17">
        <v>16</v>
      </c>
      <c r="D17">
        <v>2008</v>
      </c>
    </row>
    <row r="18" spans="1:4" x14ac:dyDescent="0.25">
      <c r="A18" t="s">
        <v>20</v>
      </c>
      <c r="B18" t="s">
        <v>4</v>
      </c>
      <c r="C18">
        <v>15</v>
      </c>
      <c r="D18">
        <v>2009</v>
      </c>
    </row>
    <row r="19" spans="1:4" x14ac:dyDescent="0.25">
      <c r="A19" t="s">
        <v>21</v>
      </c>
      <c r="B19" t="s">
        <v>4</v>
      </c>
      <c r="C19">
        <v>16</v>
      </c>
      <c r="D19">
        <v>2009</v>
      </c>
    </row>
    <row r="20" spans="1:4" x14ac:dyDescent="0.25">
      <c r="A20" t="s">
        <v>22</v>
      </c>
      <c r="B20" t="s">
        <v>27</v>
      </c>
      <c r="C20">
        <v>15</v>
      </c>
      <c r="D20">
        <v>2009</v>
      </c>
    </row>
    <row r="21" spans="1:4" x14ac:dyDescent="0.25">
      <c r="A21" t="s">
        <v>23</v>
      </c>
      <c r="B21" t="s">
        <v>27</v>
      </c>
      <c r="C21">
        <v>15</v>
      </c>
      <c r="D21">
        <v>2009</v>
      </c>
    </row>
    <row r="22" spans="1:4" x14ac:dyDescent="0.25">
      <c r="A22" t="s">
        <v>24</v>
      </c>
      <c r="B22" t="s">
        <v>27</v>
      </c>
      <c r="C22">
        <v>15</v>
      </c>
      <c r="D22">
        <v>2009</v>
      </c>
    </row>
    <row r="23" spans="1:4" x14ac:dyDescent="0.25">
      <c r="A23" t="s">
        <v>25</v>
      </c>
      <c r="B23" t="s">
        <v>27</v>
      </c>
      <c r="C23">
        <v>15</v>
      </c>
      <c r="D23">
        <v>2009</v>
      </c>
    </row>
    <row r="24" spans="1:4" x14ac:dyDescent="0.25">
      <c r="A24" t="s">
        <v>26</v>
      </c>
      <c r="B24" t="s">
        <v>27</v>
      </c>
      <c r="C24">
        <v>16</v>
      </c>
      <c r="D24">
        <v>2009</v>
      </c>
    </row>
    <row r="25" spans="1:4" x14ac:dyDescent="0.25">
      <c r="A25" t="s">
        <v>29</v>
      </c>
      <c r="B25" t="s">
        <v>27</v>
      </c>
      <c r="C25">
        <v>15</v>
      </c>
      <c r="D25">
        <v>2009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2025-03-11T15:17:39Z</dcterms:created>
  <dcterms:modified xsi:type="dcterms:W3CDTF">2025-04-29T17:56:10Z</dcterms:modified>
</cp:coreProperties>
</file>